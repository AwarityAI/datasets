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azFUOgFn2zpN/85rc6AD/kE+/yn+0G28GN1beNedNQ="/>
    </ext>
  </extLst>
</workbook>
</file>

<file path=xl/sharedStrings.xml><?xml version="1.0" encoding="utf-8"?>
<sst xmlns="http://schemas.openxmlformats.org/spreadsheetml/2006/main" count="22" uniqueCount="17">
  <si>
    <t>Shareholder</t>
  </si>
  <si>
    <t>Shares Owned</t>
  </si>
  <si>
    <t>% Ownership (Pre-Series A)</t>
  </si>
  <si>
    <t>% Ownership (Post-Series A)</t>
  </si>
  <si>
    <t>Series A Pre-Funding Value</t>
  </si>
  <si>
    <t>Founders</t>
  </si>
  <si>
    <t>- Elena Rodriguez (CEO)</t>
  </si>
  <si>
    <t>- Dr. Rachel Chen (CTO)</t>
  </si>
  <si>
    <t>- Marcus Blackwood (CFO)</t>
  </si>
  <si>
    <t>- Thomas Lee (COO)</t>
  </si>
  <si>
    <t>Employee Stock Option Pool</t>
  </si>
  <si>
    <t>Urban Underwood (via SAFE)</t>
  </si>
  <si>
    <t>Energy Angels, Inc (via SAFE)</t>
  </si>
  <si>
    <t>Emerald City Ventures</t>
  </si>
  <si>
    <t xml:space="preserve"> </t>
  </si>
  <si>
    <t>Horizon Capital Partners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</si>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</sst>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&quot;$&quot;#,##0"/>
  </numFmts>
  <fonts count="5">
    <font>
      <sz val="10.0"/>
      <color rgb="FF000000"/>
      <name val="Arial"/>
      <scheme val="minor"/>
    </font>
    <font>
      <b/>
      <sz val="11.0"/>
      <color rgb="FF000000"/>
      <name val="Roboto"/>
    </font>
    <font>
      <color theme="1"/>
      <name val="Arial"/>
      <scheme val="minor"/>
    </font>
    <font>
      <sz val="11.0"/>
      <color rgb="FF000000"/>
      <name val="Roboto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D9D9D0"/>
      </bottom>
    </border>
    <border>
      <left style="thin">
        <color rgb="FFD9D9D0"/>
      </left>
      <right style="thin">
        <color rgb="FFD9D9D0"/>
      </right>
      <top style="thin">
        <color rgb="FFD9D9D0"/>
      </top>
      <bottom style="thin">
        <color rgb="FFD9D9D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horizontal="left" shrinkToFit="0" wrapText="1"/>
    </xf>
    <xf borderId="2" fillId="0" fontId="4" numFmtId="0" xfId="0" applyAlignment="1" applyBorder="1" applyFont="1">
      <alignment horizontal="left" shrinkToFit="0" wrapText="1"/>
    </xf>
    <xf borderId="2" fillId="0" fontId="3" numFmtId="3" xfId="0" applyAlignment="1" applyBorder="1" applyFont="1" applyNumberFormat="1">
      <alignment horizontal="left" shrinkToFit="0" wrapText="1"/>
    </xf>
    <xf borderId="2" fillId="0" fontId="3" numFmtId="164" xfId="0" applyAlignment="1" applyBorder="1" applyFont="1" applyNumberFormat="1">
      <alignment horizontal="left" shrinkToFit="0" wrapText="1"/>
    </xf>
    <xf borderId="2" fillId="0" fontId="3" numFmtId="10" xfId="0" applyAlignment="1" applyBorder="1" applyFont="1" applyNumberFormat="1">
      <alignment horizontal="left" shrinkToFit="0" wrapText="1"/>
    </xf>
    <xf borderId="2" fillId="0" fontId="3" numFmtId="3" xfId="0" applyAlignment="1" applyBorder="1" applyFont="1" applyNumberFormat="1">
      <alignment horizontal="left" readingOrder="0" shrinkToFit="0" wrapText="1"/>
    </xf>
    <xf borderId="0" fillId="0" fontId="2" numFmtId="2" xfId="0" applyFont="1" applyNumberFormat="1"/>
    <xf borderId="0" fillId="0" fontId="2" numFmtId="165" xfId="0" applyAlignment="1" applyFont="1" applyNumberFormat="1">
      <alignment readingOrder="0"/>
    </xf>
    <xf borderId="2" fillId="0" fontId="3" numFmtId="0" xfId="0" applyAlignment="1" applyBorder="1" applyFont="1">
      <alignment horizontal="left" readingOrder="0"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12.63"/>
    <col customWidth="1" min="3" max="3" width="17.13"/>
    <col customWidth="1" min="4" max="4" width="16.0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ht="15.75" customHeight="1">
      <c r="A2" s="3" t="s">
        <v>5</v>
      </c>
      <c r="B2" s="4"/>
      <c r="C2" s="4"/>
      <c r="D2" s="4"/>
    </row>
    <row r="3" ht="15.75" customHeight="1">
      <c r="A3" s="3" t="s">
        <v>6</v>
      </c>
      <c r="B3" s="5">
        <v>2000000.0</v>
      </c>
      <c r="C3" s="6">
        <f t="shared" ref="C3:C7" si="1">B3/6000000</f>
        <v>0.3333333333</v>
      </c>
      <c r="D3" s="7">
        <f t="shared" ref="D3:D11" si="2">B3/$B$12</f>
        <v>0.2612381723</v>
      </c>
    </row>
    <row r="4" ht="15.75" customHeight="1">
      <c r="A4" s="3" t="s">
        <v>7</v>
      </c>
      <c r="B4" s="5">
        <v>1500000.0</v>
      </c>
      <c r="C4" s="6">
        <f t="shared" si="1"/>
        <v>0.25</v>
      </c>
      <c r="D4" s="7">
        <f t="shared" si="2"/>
        <v>0.1959286292</v>
      </c>
    </row>
    <row r="5" ht="15.75" customHeight="1">
      <c r="A5" s="3" t="s">
        <v>8</v>
      </c>
      <c r="B5" s="5">
        <v>1000000.0</v>
      </c>
      <c r="C5" s="6">
        <f t="shared" si="1"/>
        <v>0.1666666667</v>
      </c>
      <c r="D5" s="7">
        <f t="shared" si="2"/>
        <v>0.1306190861</v>
      </c>
    </row>
    <row r="6" ht="15.75" customHeight="1">
      <c r="A6" s="3" t="s">
        <v>9</v>
      </c>
      <c r="B6" s="5">
        <v>500000.0</v>
      </c>
      <c r="C6" s="6">
        <f t="shared" si="1"/>
        <v>0.08333333333</v>
      </c>
      <c r="D6" s="7">
        <f t="shared" si="2"/>
        <v>0.06530954307</v>
      </c>
    </row>
    <row r="7" ht="15.75" customHeight="1">
      <c r="A7" s="3" t="s">
        <v>10</v>
      </c>
      <c r="B7" s="5">
        <v>1000000.0</v>
      </c>
      <c r="C7" s="6">
        <f t="shared" si="1"/>
        <v>0.1666666667</v>
      </c>
      <c r="D7" s="7">
        <f t="shared" si="2"/>
        <v>0.1306190861</v>
      </c>
    </row>
    <row r="8" ht="15.75" customHeight="1">
      <c r="A8" s="3" t="s">
        <v>11</v>
      </c>
      <c r="B8" s="5">
        <v>50000.0</v>
      </c>
      <c r="C8" s="6">
        <v>0.0</v>
      </c>
      <c r="D8" s="7">
        <f t="shared" si="2"/>
        <v>0.006530954307</v>
      </c>
    </row>
    <row r="9" ht="15.75" customHeight="1">
      <c r="A9" s="3" t="s">
        <v>12</v>
      </c>
      <c r="B9" s="5">
        <v>75000.0</v>
      </c>
      <c r="C9" s="6">
        <v>0.0</v>
      </c>
      <c r="D9" s="7">
        <f t="shared" si="2"/>
        <v>0.00979643146</v>
      </c>
    </row>
    <row r="10" ht="15.75" customHeight="1">
      <c r="A10" s="3" t="s">
        <v>13</v>
      </c>
      <c r="B10" s="8">
        <v>1148000.0</v>
      </c>
      <c r="C10" s="6">
        <v>0.0</v>
      </c>
      <c r="D10" s="7">
        <f t="shared" si="2"/>
        <v>0.1499507109</v>
      </c>
      <c r="E10" s="9">
        <f>7500000/B10</f>
        <v>6.533101045</v>
      </c>
      <c r="F10" s="10">
        <f t="shared" ref="F10:F11" si="3">E10*B10</f>
        <v>7500000</v>
      </c>
      <c r="G10" s="10" t="s">
        <v>14</v>
      </c>
      <c r="H10" s="2" t="s">
        <v>14</v>
      </c>
      <c r="I10" s="2" t="s">
        <v>14</v>
      </c>
    </row>
    <row r="11" ht="15.75" customHeight="1">
      <c r="A11" s="11" t="s">
        <v>15</v>
      </c>
      <c r="B11" s="8">
        <v>382849.0</v>
      </c>
      <c r="C11" s="6">
        <v>0.0</v>
      </c>
      <c r="D11" s="7">
        <f t="shared" si="2"/>
        <v>0.05000738651</v>
      </c>
      <c r="E11" s="2">
        <v>6.53</v>
      </c>
      <c r="F11" s="10">
        <f t="shared" si="3"/>
        <v>2500003.97</v>
      </c>
    </row>
    <row r="12" ht="15.75" customHeight="1">
      <c r="A12" s="3" t="s">
        <v>16</v>
      </c>
      <c r="B12" s="5">
        <f t="shared" ref="B12:D12" si="4">SUM(B3:B11)</f>
        <v>7655849</v>
      </c>
      <c r="C12" s="6">
        <f t="shared" si="4"/>
        <v>1</v>
      </c>
      <c r="D12" s="7">
        <f t="shared" si="4"/>
        <v>1</v>
      </c>
    </row>
    <row r="13" ht="15.75" customHeight="1">
      <c r="B13" s="12" t="s">
        <v>14</v>
      </c>
      <c r="F13" s="2" t="s">
        <v>14</v>
      </c>
    </row>
    <row r="14" ht="15.75" customHeight="1">
      <c r="B14" s="12" t="s">
        <v>14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